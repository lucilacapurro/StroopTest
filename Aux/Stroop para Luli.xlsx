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herrero\Download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J16" i="1"/>
  <c r="M16" i="1"/>
  <c r="M21" i="1" l="1"/>
  <c r="M22" i="1"/>
  <c r="J21" i="1"/>
  <c r="J22" i="1"/>
  <c r="G21" i="1"/>
  <c r="G22" i="1"/>
  <c r="D21" i="1"/>
  <c r="D22" i="1"/>
  <c r="M17" i="1"/>
  <c r="G17" i="1"/>
  <c r="D17" i="1"/>
  <c r="J17" i="1"/>
  <c r="M20" i="1" l="1"/>
  <c r="M15" i="1"/>
  <c r="J20" i="1"/>
  <c r="J15" i="1"/>
  <c r="G20" i="1"/>
  <c r="G15" i="1"/>
  <c r="D20" i="1"/>
  <c r="D15" i="1"/>
  <c r="X9" i="1"/>
  <c r="X10" i="1"/>
  <c r="X8" i="1"/>
  <c r="U9" i="1"/>
  <c r="U10" i="1"/>
  <c r="U8" i="1"/>
  <c r="R9" i="1"/>
  <c r="R10" i="1"/>
  <c r="R8" i="1"/>
  <c r="K9" i="1"/>
  <c r="K10" i="1"/>
  <c r="K8" i="1"/>
  <c r="H9" i="1"/>
  <c r="H10" i="1"/>
  <c r="H8" i="1"/>
  <c r="E9" i="1"/>
  <c r="E10" i="1"/>
  <c r="E8" i="1"/>
  <c r="X4" i="1"/>
  <c r="X5" i="1"/>
  <c r="X3" i="1"/>
  <c r="U4" i="1"/>
  <c r="U5" i="1"/>
  <c r="U3" i="1"/>
  <c r="R4" i="1"/>
  <c r="R5" i="1"/>
  <c r="R3" i="1"/>
  <c r="K4" i="1"/>
  <c r="K5" i="1"/>
  <c r="K3" i="1"/>
  <c r="H4" i="1"/>
  <c r="H5" i="1"/>
  <c r="H3" i="1"/>
  <c r="E4" i="1"/>
  <c r="E5" i="1"/>
  <c r="E3" i="1"/>
  <c r="M5" i="1" l="1"/>
  <c r="N5" i="1" s="1"/>
  <c r="M4" i="1"/>
  <c r="N4" i="1" s="1"/>
  <c r="Z8" i="1"/>
  <c r="AA8" i="1" s="1"/>
  <c r="Z5" i="1"/>
  <c r="AA5" i="1" s="1"/>
  <c r="M10" i="1"/>
  <c r="N10" i="1" s="1"/>
  <c r="M9" i="1"/>
  <c r="N9" i="1" s="1"/>
  <c r="Z10" i="1"/>
  <c r="AA10" i="1" s="1"/>
  <c r="M3" i="1"/>
  <c r="N3" i="1" s="1"/>
  <c r="Z3" i="1"/>
  <c r="AA3" i="1" s="1"/>
  <c r="M8" i="1"/>
  <c r="N8" i="1" s="1"/>
  <c r="Z9" i="1"/>
  <c r="AA9" i="1" s="1"/>
  <c r="Z4" i="1"/>
  <c r="AA4" i="1" s="1"/>
</calcChain>
</file>

<file path=xl/sharedStrings.xml><?xml version="1.0" encoding="utf-8"?>
<sst xmlns="http://schemas.openxmlformats.org/spreadsheetml/2006/main" count="55" uniqueCount="25">
  <si>
    <t>STROOP PRE</t>
  </si>
  <si>
    <t>SUJETO</t>
  </si>
  <si>
    <t>P</t>
  </si>
  <si>
    <t>C</t>
  </si>
  <si>
    <t>PC</t>
  </si>
  <si>
    <t>STROOP POST</t>
  </si>
  <si>
    <t>P corregido por edad</t>
  </si>
  <si>
    <t>C corregido por edad</t>
  </si>
  <si>
    <t>PC corregido por edad</t>
  </si>
  <si>
    <t>Puntaje de interferencia PC'</t>
  </si>
  <si>
    <t>PT</t>
  </si>
  <si>
    <t>PC-PC'</t>
  </si>
  <si>
    <t>PC' Puntaje de interferencia</t>
  </si>
  <si>
    <t>Edad</t>
  </si>
  <si>
    <t>PRE</t>
  </si>
  <si>
    <t>POST</t>
  </si>
  <si>
    <t>Nomenclatura</t>
  </si>
  <si>
    <t>P = Palabra</t>
  </si>
  <si>
    <t>Si la diferencia es mayor o igual a un desvío típico se coloca 1</t>
  </si>
  <si>
    <t>Condición</t>
  </si>
  <si>
    <t>EST</t>
  </si>
  <si>
    <t>SHAM</t>
  </si>
  <si>
    <t>Menor de 65</t>
  </si>
  <si>
    <t xml:space="preserve">si la celda tiene color azul es porque el valor bruto está entre dos valores del baremo. Se eligió el puntaje T más alto en todos los casos. </t>
  </si>
  <si>
    <t xml:space="preserve">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</si>
</sst>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4" borderId="0" xfId="0" applyFill="1"/>
    <xf numFmtId="0" fontId="0" fillId="2" borderId="12" xfId="0" applyFont="1" applyFill="1" applyBorder="1"/>
    <xf numFmtId="0" fontId="0" fillId="2" borderId="13" xfId="0" applyFont="1" applyFill="1" applyBorder="1"/>
    <xf numFmtId="0" fontId="0" fillId="2" borderId="6" xfId="0" applyFont="1" applyFill="1" applyBorder="1"/>
    <xf numFmtId="0" fontId="0" fillId="2" borderId="14" xfId="0" applyFont="1" applyFill="1" applyBorder="1"/>
    <xf numFmtId="0" fontId="0" fillId="3" borderId="16" xfId="0" applyFill="1" applyBorder="1"/>
    <xf numFmtId="0" fontId="0" fillId="3" borderId="12" xfId="0" applyFill="1" applyBorder="1"/>
    <xf numFmtId="0" fontId="0" fillId="2" borderId="18" xfId="0" applyFont="1" applyFill="1" applyBorder="1"/>
    <xf numFmtId="0" fontId="2" fillId="9" borderId="0" xfId="0" applyFont="1" applyFill="1" applyBorder="1" applyAlignment="1">
      <alignment horizontal="center"/>
    </xf>
    <xf numFmtId="0" fontId="0" fillId="9" borderId="0" xfId="0" applyNumberFormat="1" applyFont="1" applyFill="1" applyBorder="1"/>
    <xf numFmtId="0" fontId="0" fillId="0" borderId="6" xfId="0" applyBorder="1"/>
    <xf numFmtId="0" fontId="0" fillId="5" borderId="6" xfId="0" applyFill="1" applyBorder="1" applyAlignment="1"/>
    <xf numFmtId="0" fontId="0" fillId="10" borderId="6" xfId="0" applyFill="1" applyBorder="1" applyAlignment="1"/>
    <xf numFmtId="0" fontId="0" fillId="4" borderId="20" xfId="0" applyFont="1" applyFill="1" applyBorder="1"/>
    <xf numFmtId="0" fontId="0" fillId="6" borderId="20" xfId="0" applyFont="1" applyFill="1" applyBorder="1"/>
    <xf numFmtId="0" fontId="0" fillId="2" borderId="26" xfId="0" applyFont="1" applyFill="1" applyBorder="1"/>
    <xf numFmtId="0" fontId="0" fillId="7" borderId="0" xfId="0" applyFont="1" applyFill="1" applyBorder="1"/>
    <xf numFmtId="0" fontId="0" fillId="0" borderId="8" xfId="0" applyFont="1" applyFill="1" applyBorder="1"/>
    <xf numFmtId="0" fontId="0" fillId="0" borderId="1" xfId="0" applyFont="1" applyFill="1" applyBorder="1"/>
    <xf numFmtId="0" fontId="0" fillId="0" borderId="9" xfId="0" applyFont="1" applyFill="1" applyBorder="1"/>
    <xf numFmtId="0" fontId="0" fillId="0" borderId="11" xfId="0" applyFont="1" applyFill="1" applyBorder="1"/>
    <xf numFmtId="2" fontId="0" fillId="0" borderId="1" xfId="0" applyNumberFormat="1" applyFont="1" applyFill="1" applyBorder="1"/>
    <xf numFmtId="0" fontId="0" fillId="0" borderId="15" xfId="0" applyFill="1" applyBorder="1"/>
    <xf numFmtId="0" fontId="0" fillId="0" borderId="1" xfId="0" applyFill="1" applyBorder="1"/>
    <xf numFmtId="0" fontId="0" fillId="0" borderId="8" xfId="0" applyFill="1" applyBorder="1"/>
    <xf numFmtId="0" fontId="0" fillId="0" borderId="3" xfId="0" applyFill="1" applyBorder="1"/>
    <xf numFmtId="164" fontId="0" fillId="0" borderId="1" xfId="0" applyNumberFormat="1" applyFill="1" applyBorder="1"/>
    <xf numFmtId="0" fontId="0" fillId="2" borderId="20" xfId="0" applyFont="1" applyFill="1" applyBorder="1"/>
    <xf numFmtId="0" fontId="3" fillId="7" borderId="0" xfId="0" applyFont="1" applyFill="1" applyBorder="1"/>
    <xf numFmtId="0" fontId="0" fillId="0" borderId="15" xfId="0" applyFont="1" applyFill="1" applyBorder="1"/>
    <xf numFmtId="0" fontId="0" fillId="0" borderId="2" xfId="0" applyFont="1" applyFill="1" applyBorder="1"/>
    <xf numFmtId="0" fontId="0" fillId="0" borderId="5" xfId="0" applyFont="1" applyFill="1" applyBorder="1"/>
    <xf numFmtId="0" fontId="0" fillId="0" borderId="7" xfId="0" applyFont="1" applyFill="1" applyBorder="1"/>
    <xf numFmtId="0" fontId="0" fillId="7" borderId="0" xfId="0" applyFill="1" applyBorder="1"/>
    <xf numFmtId="164" fontId="0" fillId="7" borderId="0" xfId="0" applyNumberFormat="1" applyFill="1" applyBorder="1"/>
    <xf numFmtId="2" fontId="0" fillId="0" borderId="8" xfId="0" applyNumberFormat="1" applyFont="1" applyFill="1" applyBorder="1"/>
    <xf numFmtId="164" fontId="0" fillId="0" borderId="8" xfId="0" applyNumberFormat="1" applyFill="1" applyBorder="1"/>
    <xf numFmtId="0" fontId="0" fillId="4" borderId="28" xfId="0" applyFont="1" applyFill="1" applyBorder="1"/>
    <xf numFmtId="0" fontId="0" fillId="9" borderId="28" xfId="0" applyFont="1" applyFill="1" applyBorder="1"/>
    <xf numFmtId="0" fontId="0" fillId="2" borderId="28" xfId="0" applyFont="1" applyFill="1" applyBorder="1"/>
    <xf numFmtId="0" fontId="0" fillId="7" borderId="22" xfId="0" applyFill="1" applyBorder="1"/>
    <xf numFmtId="0" fontId="0" fillId="7" borderId="23" xfId="0" applyFill="1" applyBorder="1"/>
    <xf numFmtId="0" fontId="0" fillId="0" borderId="19" xfId="0" applyFont="1" applyFill="1" applyBorder="1"/>
    <xf numFmtId="0" fontId="0" fillId="4" borderId="33" xfId="0" applyFont="1" applyFill="1" applyBorder="1"/>
    <xf numFmtId="0" fontId="0" fillId="0" borderId="10" xfId="0" applyFont="1" applyFill="1" applyBorder="1"/>
    <xf numFmtId="0" fontId="0" fillId="2" borderId="34" xfId="0" applyFont="1" applyFill="1" applyBorder="1"/>
    <xf numFmtId="0" fontId="0" fillId="6" borderId="17" xfId="0" applyFont="1" applyFill="1" applyBorder="1"/>
    <xf numFmtId="0" fontId="0" fillId="0" borderId="35" xfId="0" applyFont="1" applyFill="1" applyBorder="1"/>
    <xf numFmtId="0" fontId="0" fillId="0" borderId="36" xfId="0" applyFont="1" applyFill="1" applyBorder="1"/>
    <xf numFmtId="2" fontId="0" fillId="0" borderId="36" xfId="0" applyNumberFormat="1" applyFont="1" applyFill="1" applyBorder="1"/>
    <xf numFmtId="2" fontId="0" fillId="0" borderId="35" xfId="0" applyNumberFormat="1" applyFont="1" applyFill="1" applyBorder="1"/>
    <xf numFmtId="0" fontId="0" fillId="0" borderId="37" xfId="0" applyFill="1" applyBorder="1"/>
    <xf numFmtId="0" fontId="0" fillId="0" borderId="36" xfId="0" applyFill="1" applyBorder="1"/>
    <xf numFmtId="0" fontId="3" fillId="7" borderId="23" xfId="0" applyFont="1" applyFill="1" applyBorder="1"/>
    <xf numFmtId="0" fontId="3" fillId="7" borderId="22" xfId="0" applyFont="1" applyFill="1" applyBorder="1"/>
    <xf numFmtId="0" fontId="0" fillId="0" borderId="35" xfId="0" applyFill="1" applyBorder="1"/>
    <xf numFmtId="0" fontId="0" fillId="8" borderId="11" xfId="0" applyFill="1" applyBorder="1"/>
    <xf numFmtId="0" fontId="0" fillId="0" borderId="39" xfId="0" applyFill="1" applyBorder="1"/>
    <xf numFmtId="164" fontId="0" fillId="0" borderId="2" xfId="0" applyNumberFormat="1" applyFill="1" applyBorder="1"/>
    <xf numFmtId="164" fontId="0" fillId="0" borderId="15" xfId="0" applyNumberFormat="1" applyFill="1" applyBorder="1"/>
    <xf numFmtId="0" fontId="0" fillId="3" borderId="41" xfId="0" applyFill="1" applyBorder="1"/>
    <xf numFmtId="0" fontId="0" fillId="0" borderId="30" xfId="0" applyFill="1" applyBorder="1"/>
    <xf numFmtId="0" fontId="0" fillId="0" borderId="4" xfId="0" applyFill="1" applyBorder="1"/>
    <xf numFmtId="0" fontId="1" fillId="7" borderId="22" xfId="0" applyFont="1" applyFill="1" applyBorder="1"/>
    <xf numFmtId="0" fontId="0" fillId="8" borderId="31" xfId="0" applyFill="1" applyBorder="1"/>
    <xf numFmtId="0" fontId="0" fillId="2" borderId="42" xfId="0" applyFont="1" applyFill="1" applyBorder="1"/>
    <xf numFmtId="0" fontId="0" fillId="0" borderId="1" xfId="0" applyBorder="1"/>
    <xf numFmtId="0" fontId="0" fillId="0" borderId="1" xfId="0" applyFont="1" applyBorder="1" applyAlignment="1">
      <alignment horizontal="left"/>
    </xf>
    <xf numFmtId="0" fontId="0" fillId="0" borderId="1" xfId="0" applyFont="1" applyBorder="1"/>
    <xf numFmtId="0" fontId="0" fillId="11" borderId="0" xfId="0" applyFill="1"/>
    <xf numFmtId="0" fontId="0" fillId="8" borderId="32" xfId="0" applyFont="1" applyFill="1" applyBorder="1"/>
    <xf numFmtId="0" fontId="0" fillId="2" borderId="25" xfId="0" applyFont="1" applyFill="1" applyBorder="1"/>
    <xf numFmtId="0" fontId="0" fillId="8" borderId="38" xfId="0" applyFill="1" applyBorder="1"/>
    <xf numFmtId="0" fontId="0" fillId="0" borderId="11" xfId="0" applyFill="1" applyBorder="1"/>
    <xf numFmtId="0" fontId="0" fillId="12" borderId="0" xfId="0" applyFill="1" applyBorder="1"/>
    <xf numFmtId="0" fontId="0" fillId="12" borderId="0" xfId="0" applyFont="1" applyFill="1" applyBorder="1" applyAlignment="1">
      <alignment horizontal="center" wrapText="1"/>
    </xf>
    <xf numFmtId="0" fontId="0" fillId="12" borderId="0" xfId="0" applyNumberFormat="1" applyFont="1" applyFill="1" applyBorder="1"/>
    <xf numFmtId="0" fontId="0" fillId="12" borderId="0" xfId="0" applyFill="1"/>
    <xf numFmtId="0" fontId="0" fillId="12" borderId="6" xfId="0" applyFill="1" applyBorder="1"/>
    <xf numFmtId="0" fontId="0" fillId="10" borderId="20" xfId="0" applyFill="1" applyBorder="1" applyAlignment="1">
      <alignment horizontal="center"/>
    </xf>
    <xf numFmtId="0" fontId="0" fillId="0" borderId="43" xfId="0" applyFill="1" applyBorder="1"/>
    <xf numFmtId="0" fontId="0" fillId="0" borderId="3" xfId="0" applyFont="1" applyBorder="1"/>
    <xf numFmtId="0" fontId="0" fillId="0" borderId="37" xfId="0" applyFont="1" applyFill="1" applyBorder="1"/>
    <xf numFmtId="0" fontId="0" fillId="8" borderId="40" xfId="0" applyFill="1" applyBorder="1"/>
    <xf numFmtId="0" fontId="0" fillId="8" borderId="36" xfId="0" applyFont="1" applyFill="1" applyBorder="1"/>
    <xf numFmtId="0" fontId="0" fillId="0" borderId="31" xfId="0" applyFill="1" applyBorder="1"/>
    <xf numFmtId="0" fontId="0" fillId="0" borderId="33" xfId="0" applyFont="1" applyFill="1" applyBorder="1"/>
    <xf numFmtId="0" fontId="0" fillId="8" borderId="10" xfId="0" applyFont="1" applyFill="1" applyBorder="1"/>
    <xf numFmtId="0" fontId="0" fillId="0" borderId="21" xfId="0" applyBorder="1"/>
    <xf numFmtId="0" fontId="0" fillId="12" borderId="21" xfId="0" applyFill="1" applyBorder="1"/>
    <xf numFmtId="0" fontId="0" fillId="0" borderId="40" xfId="0" applyFill="1" applyBorder="1"/>
    <xf numFmtId="0" fontId="0" fillId="0" borderId="32" xfId="0" applyFill="1" applyBorder="1"/>
    <xf numFmtId="0" fontId="0" fillId="0" borderId="38" xfId="0" applyFont="1" applyFill="1" applyBorder="1"/>
    <xf numFmtId="0" fontId="0" fillId="0" borderId="33" xfId="0" applyBorder="1"/>
    <xf numFmtId="0" fontId="0" fillId="0" borderId="7" xfId="0" applyBorder="1"/>
    <xf numFmtId="0" fontId="0" fillId="12" borderId="7" xfId="0" applyFill="1" applyBorder="1"/>
    <xf numFmtId="0" fontId="0" fillId="0" borderId="30" xfId="0" applyFont="1" applyFill="1" applyBorder="1"/>
    <xf numFmtId="0" fontId="0" fillId="0" borderId="33" xfId="0" applyNumberFormat="1" applyFont="1" applyFill="1" applyBorder="1"/>
    <xf numFmtId="0" fontId="0" fillId="0" borderId="10" xfId="0" applyNumberFormat="1" applyFont="1" applyFill="1" applyBorder="1"/>
    <xf numFmtId="0" fontId="0" fillId="12" borderId="33" xfId="0" applyFill="1" applyBorder="1"/>
    <xf numFmtId="0" fontId="0" fillId="0" borderId="9" xfId="0" applyFont="1" applyBorder="1"/>
    <xf numFmtId="0" fontId="0" fillId="10" borderId="20" xfId="0" applyFont="1" applyFill="1" applyBorder="1"/>
    <xf numFmtId="0" fontId="0" fillId="0" borderId="44" xfId="0" applyBorder="1"/>
    <xf numFmtId="0" fontId="0" fillId="12" borderId="0" xfId="0" applyFont="1" applyFill="1" applyBorder="1"/>
    <xf numFmtId="0" fontId="3" fillId="12" borderId="0" xfId="0" applyFont="1" applyFill="1" applyBorder="1"/>
    <xf numFmtId="0" fontId="2" fillId="8" borderId="0" xfId="0" applyFont="1" applyFill="1" applyBorder="1" applyAlignment="1">
      <alignment horizontal="center"/>
    </xf>
    <xf numFmtId="0" fontId="2" fillId="8" borderId="24" xfId="0" applyFont="1" applyFill="1" applyBorder="1" applyAlignment="1">
      <alignment horizontal="center"/>
    </xf>
    <xf numFmtId="0" fontId="2" fillId="8" borderId="29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 wrapText="1"/>
    </xf>
    <xf numFmtId="0" fontId="2" fillId="7" borderId="0" xfId="0" applyFont="1" applyFill="1" applyBorder="1" applyAlignment="1">
      <alignment horizontal="center" wrapText="1"/>
    </xf>
    <xf numFmtId="0" fontId="2" fillId="7" borderId="22" xfId="0" applyFont="1" applyFill="1" applyBorder="1" applyAlignment="1">
      <alignment horizontal="center" wrapText="1"/>
    </xf>
    <xf numFmtId="0" fontId="0" fillId="0" borderId="10" xfId="0" applyBorder="1"/>
    <xf numFmtId="0" fontId="0" fillId="0" borderId="32" xfId="0" applyFont="1" applyFill="1" applyBorder="1"/>
    <xf numFmtId="0" fontId="0" fillId="0" borderId="31" xfId="0" applyFont="1" applyFill="1" applyBorder="1"/>
    <xf numFmtId="0" fontId="0" fillId="0" borderId="27" xfId="0" applyFont="1" applyFill="1" applyBorder="1"/>
    <xf numFmtId="0" fontId="0" fillId="0" borderId="38" xfId="0" applyNumberFormat="1" applyFont="1" applyFill="1" applyBorder="1"/>
    <xf numFmtId="0" fontId="0" fillId="0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tabSelected="1" zoomScale="80" zoomScaleNormal="80" workbookViewId="0">
      <selection activeCell="C25" sqref="C25"/>
    </sheetView>
  </sheetViews>
  <sheetFormatPr baseColWidth="10" defaultRowHeight="14.5" x14ac:dyDescent="0.35"/>
  <cols>
    <col min="1" max="1" width="24.453125" customWidth="1"/>
    <col min="2" max="3" width="12.81640625" customWidth="1"/>
    <col min="4" max="4" width="15.453125" customWidth="1"/>
    <col min="5" max="5" width="21.26953125" customWidth="1"/>
    <col min="6" max="6" width="23.453125" customWidth="1"/>
    <col min="7" max="7" width="11.81640625" bestFit="1" customWidth="1"/>
    <col min="8" max="9" width="19.1796875" customWidth="1"/>
    <col min="11" max="12" width="20.1796875" customWidth="1"/>
    <col min="13" max="13" width="26.1796875" customWidth="1"/>
    <col min="14" max="14" width="15" customWidth="1"/>
    <col min="15" max="15" width="30" customWidth="1"/>
    <col min="16" max="16" width="9.81640625" customWidth="1"/>
    <col min="24" max="26" width="21.54296875" customWidth="1"/>
  </cols>
  <sheetData>
    <row r="1" spans="1:28" ht="19" thickBot="1" x14ac:dyDescent="0.5">
      <c r="A1" s="1"/>
      <c r="B1" s="1"/>
      <c r="C1" s="1"/>
      <c r="D1" s="107" t="s">
        <v>0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9"/>
      <c r="Q1" s="106" t="s">
        <v>5</v>
      </c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 spans="1:28" ht="15" thickBot="1" x14ac:dyDescent="0.4">
      <c r="A2" s="44" t="s">
        <v>1</v>
      </c>
      <c r="B2" s="38" t="s">
        <v>13</v>
      </c>
      <c r="C2" s="14" t="s">
        <v>19</v>
      </c>
      <c r="D2" s="46" t="s">
        <v>2</v>
      </c>
      <c r="E2" s="2" t="s">
        <v>6</v>
      </c>
      <c r="F2" s="47" t="s">
        <v>10</v>
      </c>
      <c r="G2" s="46" t="s">
        <v>3</v>
      </c>
      <c r="H2" s="3" t="s">
        <v>7</v>
      </c>
      <c r="I2" s="15" t="s">
        <v>10</v>
      </c>
      <c r="J2" s="4" t="s">
        <v>4</v>
      </c>
      <c r="K2" s="5" t="s">
        <v>8</v>
      </c>
      <c r="L2" s="5" t="s">
        <v>10</v>
      </c>
      <c r="M2" s="16" t="s">
        <v>9</v>
      </c>
      <c r="N2" s="72" t="s">
        <v>11</v>
      </c>
      <c r="O2" s="8"/>
      <c r="P2" s="39"/>
      <c r="Q2" s="6" t="s">
        <v>2</v>
      </c>
      <c r="R2" s="66" t="s">
        <v>6</v>
      </c>
      <c r="S2" s="2" t="s">
        <v>10</v>
      </c>
      <c r="T2" s="7" t="s">
        <v>3</v>
      </c>
      <c r="U2" s="3" t="s">
        <v>7</v>
      </c>
      <c r="V2" s="3" t="s">
        <v>10</v>
      </c>
      <c r="W2" s="61" t="s">
        <v>4</v>
      </c>
      <c r="X2" s="16" t="s">
        <v>8</v>
      </c>
      <c r="Y2" s="28" t="s">
        <v>10</v>
      </c>
      <c r="Z2" s="28" t="s">
        <v>12</v>
      </c>
      <c r="AA2" s="40" t="s">
        <v>11</v>
      </c>
      <c r="AB2" s="16" t="s">
        <v>10</v>
      </c>
    </row>
    <row r="3" spans="1:28" x14ac:dyDescent="0.35">
      <c r="A3" s="69">
        <v>1</v>
      </c>
      <c r="B3" s="67">
        <v>72</v>
      </c>
      <c r="C3" s="68" t="s">
        <v>20</v>
      </c>
      <c r="D3" s="30">
        <v>94</v>
      </c>
      <c r="E3" s="18">
        <f>SUM(D3+14)</f>
        <v>108</v>
      </c>
      <c r="F3" s="113">
        <v>50</v>
      </c>
      <c r="G3" s="48">
        <v>68</v>
      </c>
      <c r="H3" s="20">
        <f>SUM(G3+11)</f>
        <v>79</v>
      </c>
      <c r="I3" s="114">
        <v>50</v>
      </c>
      <c r="J3" s="45">
        <v>32</v>
      </c>
      <c r="K3" s="21">
        <f>SUM(J3+15)</f>
        <v>47</v>
      </c>
      <c r="L3" s="115">
        <v>52</v>
      </c>
      <c r="M3" s="22">
        <f>(E3*H3)/(E3+H3)</f>
        <v>45.62566844919786</v>
      </c>
      <c r="N3" s="22">
        <f>(K3-M3)</f>
        <v>1.3743315508021396</v>
      </c>
      <c r="O3" s="116">
        <v>52</v>
      </c>
      <c r="P3" s="10"/>
      <c r="Q3" s="52">
        <v>100</v>
      </c>
      <c r="R3" s="24">
        <f>SUM(Q3+14)</f>
        <v>114</v>
      </c>
      <c r="S3" s="73">
        <v>54</v>
      </c>
      <c r="T3" s="52">
        <v>67</v>
      </c>
      <c r="U3" s="58">
        <f>SUM(T3+11)</f>
        <v>78</v>
      </c>
      <c r="V3" s="91">
        <v>48</v>
      </c>
      <c r="W3" s="62">
        <v>30</v>
      </c>
      <c r="X3" s="58">
        <f>SUM(W3+15)</f>
        <v>45</v>
      </c>
      <c r="Y3" s="91">
        <v>50</v>
      </c>
      <c r="Z3" s="59">
        <f>(R3*U3)/(R3+U3)</f>
        <v>46.3125</v>
      </c>
      <c r="AA3" s="27">
        <f>X3-Z3</f>
        <v>-1.3125</v>
      </c>
      <c r="AB3" s="86">
        <v>48</v>
      </c>
    </row>
    <row r="4" spans="1:28" x14ac:dyDescent="0.35">
      <c r="A4" s="69">
        <v>2</v>
      </c>
      <c r="B4" s="67">
        <v>65</v>
      </c>
      <c r="C4" s="68" t="s">
        <v>20</v>
      </c>
      <c r="D4" s="31">
        <v>92</v>
      </c>
      <c r="E4" s="18">
        <f t="shared" ref="E4:E5" si="0">SUM(D4+14)</f>
        <v>106</v>
      </c>
      <c r="F4" s="71">
        <v>50</v>
      </c>
      <c r="G4" s="49">
        <v>64</v>
      </c>
      <c r="H4" s="20">
        <f t="shared" ref="H4:H5" si="1">SUM(G4+11)</f>
        <v>75</v>
      </c>
      <c r="I4" s="114">
        <v>46</v>
      </c>
      <c r="J4" s="33">
        <v>32</v>
      </c>
      <c r="K4" s="21">
        <f t="shared" ref="K4:K5" si="2">SUM(J4+15)</f>
        <v>47</v>
      </c>
      <c r="L4" s="115">
        <v>52</v>
      </c>
      <c r="M4" s="22">
        <f t="shared" ref="M4:M5" si="3">(E4*H4)/(E4+H4)</f>
        <v>43.922651933701658</v>
      </c>
      <c r="N4" s="22">
        <f t="shared" ref="N4:N5" si="4">(K4-M4)</f>
        <v>3.0773480662983417</v>
      </c>
      <c r="O4" s="117">
        <v>54</v>
      </c>
      <c r="P4" s="10"/>
      <c r="Q4" s="53">
        <v>89</v>
      </c>
      <c r="R4" s="24">
        <f t="shared" ref="R4:R5" si="5">SUM(Q4+14)</f>
        <v>103</v>
      </c>
      <c r="S4" s="74">
        <v>48</v>
      </c>
      <c r="T4" s="53">
        <v>60</v>
      </c>
      <c r="U4" s="25">
        <f t="shared" ref="U4:U5" si="6">SUM(T4+11)</f>
        <v>71</v>
      </c>
      <c r="V4" s="92">
        <v>44</v>
      </c>
      <c r="W4" s="63">
        <v>45</v>
      </c>
      <c r="X4" s="24">
        <f t="shared" ref="X4:X5" si="7">SUM(W4+15)</f>
        <v>60</v>
      </c>
      <c r="Y4" s="65">
        <v>66</v>
      </c>
      <c r="Z4" s="59">
        <f t="shared" ref="Z4:Z5" si="8">(R4*U4)/(R4+U4)</f>
        <v>42.02873563218391</v>
      </c>
      <c r="AA4" s="27">
        <f t="shared" ref="AA4:AA5" si="9">X4-Z4</f>
        <v>17.97126436781609</v>
      </c>
      <c r="AB4" s="86">
        <v>68</v>
      </c>
    </row>
    <row r="5" spans="1:28" x14ac:dyDescent="0.35">
      <c r="A5" s="69">
        <v>3</v>
      </c>
      <c r="B5" s="24">
        <v>70</v>
      </c>
      <c r="C5" s="68" t="s">
        <v>21</v>
      </c>
      <c r="D5" s="31">
        <v>114</v>
      </c>
      <c r="E5" s="18">
        <f t="shared" si="0"/>
        <v>128</v>
      </c>
      <c r="F5" s="113">
        <v>60</v>
      </c>
      <c r="G5" s="49">
        <v>67</v>
      </c>
      <c r="H5" s="20">
        <f t="shared" si="1"/>
        <v>78</v>
      </c>
      <c r="I5" s="114">
        <v>48</v>
      </c>
      <c r="J5" s="33">
        <v>42</v>
      </c>
      <c r="K5" s="21">
        <f t="shared" si="2"/>
        <v>57</v>
      </c>
      <c r="L5" s="115">
        <v>62</v>
      </c>
      <c r="M5" s="22">
        <f t="shared" si="3"/>
        <v>48.466019417475728</v>
      </c>
      <c r="N5" s="22">
        <f t="shared" si="4"/>
        <v>8.5339805825242721</v>
      </c>
      <c r="O5" s="117">
        <v>58</v>
      </c>
      <c r="P5" s="10"/>
      <c r="Q5" s="53">
        <v>120</v>
      </c>
      <c r="R5" s="24">
        <f t="shared" si="5"/>
        <v>134</v>
      </c>
      <c r="S5" s="57">
        <v>64</v>
      </c>
      <c r="T5" s="53">
        <v>69</v>
      </c>
      <c r="U5" s="25">
        <f t="shared" si="6"/>
        <v>80</v>
      </c>
      <c r="V5" s="92">
        <v>50</v>
      </c>
      <c r="W5" s="63">
        <v>46</v>
      </c>
      <c r="X5" s="24">
        <f t="shared" si="7"/>
        <v>61</v>
      </c>
      <c r="Y5" s="86">
        <v>66</v>
      </c>
      <c r="Z5" s="59">
        <f t="shared" si="8"/>
        <v>50.09345794392523</v>
      </c>
      <c r="AA5" s="27">
        <f t="shared" si="9"/>
        <v>10.90654205607477</v>
      </c>
      <c r="AB5" s="86">
        <v>60</v>
      </c>
    </row>
    <row r="6" spans="1:28" s="34" customFormat="1" x14ac:dyDescent="0.35">
      <c r="A6" s="109" t="s">
        <v>22</v>
      </c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1"/>
      <c r="P6" s="17"/>
      <c r="Q6" s="54"/>
      <c r="R6" s="29"/>
      <c r="S6" s="55"/>
      <c r="T6" s="54"/>
      <c r="U6" s="29"/>
      <c r="V6" s="55"/>
      <c r="W6" s="54"/>
      <c r="Y6" s="64"/>
      <c r="Z6" s="35"/>
      <c r="AA6" s="35"/>
      <c r="AB6" s="41"/>
    </row>
    <row r="7" spans="1:28" s="34" customFormat="1" x14ac:dyDescent="0.35">
      <c r="A7" s="109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1"/>
      <c r="Q7" s="42"/>
      <c r="S7" s="41"/>
      <c r="T7" s="42"/>
      <c r="V7" s="41"/>
      <c r="W7" s="42"/>
      <c r="Y7" s="41"/>
      <c r="AB7" s="41"/>
    </row>
    <row r="8" spans="1:28" x14ac:dyDescent="0.35">
      <c r="A8" s="69">
        <v>1</v>
      </c>
      <c r="B8" s="67">
        <v>60</v>
      </c>
      <c r="C8" s="68" t="s">
        <v>24</v>
      </c>
      <c r="D8" s="30">
        <v>88</v>
      </c>
      <c r="E8" s="18">
        <f>D8+8</f>
        <v>96</v>
      </c>
      <c r="F8" s="113">
        <v>44</v>
      </c>
      <c r="G8" s="48">
        <v>41</v>
      </c>
      <c r="H8" s="20">
        <f>G8+4</f>
        <v>45</v>
      </c>
      <c r="I8" s="113">
        <v>26</v>
      </c>
      <c r="J8" s="48">
        <v>40</v>
      </c>
      <c r="K8" s="18">
        <f>J8+5</f>
        <v>45</v>
      </c>
      <c r="L8" s="113">
        <v>50</v>
      </c>
      <c r="M8" s="51">
        <f>(E8*H8)/(E8+H8)</f>
        <v>30.638297872340427</v>
      </c>
      <c r="N8" s="36">
        <f>K8-M8</f>
        <v>14.361702127659573</v>
      </c>
      <c r="O8" s="117">
        <v>64</v>
      </c>
      <c r="P8" s="10"/>
      <c r="Q8" s="56">
        <v>84</v>
      </c>
      <c r="R8" s="23">
        <f>Q8+8</f>
        <v>92</v>
      </c>
      <c r="S8" s="57">
        <v>42</v>
      </c>
      <c r="T8" s="56">
        <v>90</v>
      </c>
      <c r="U8" s="25">
        <f>T8+4</f>
        <v>94</v>
      </c>
      <c r="V8" s="92">
        <v>60</v>
      </c>
      <c r="W8" s="56">
        <v>68</v>
      </c>
      <c r="X8" s="25">
        <f>W8+5</f>
        <v>73</v>
      </c>
      <c r="Y8" s="92">
        <v>78</v>
      </c>
      <c r="Z8" s="60">
        <f>(R8*U8)/(R8+U8)</f>
        <v>46.494623655913976</v>
      </c>
      <c r="AA8" s="37">
        <f>X8-Z8</f>
        <v>26.505376344086024</v>
      </c>
      <c r="AB8" s="92">
        <v>76</v>
      </c>
    </row>
    <row r="9" spans="1:28" x14ac:dyDescent="0.35">
      <c r="A9" s="69">
        <v>2</v>
      </c>
      <c r="B9" s="67">
        <v>61</v>
      </c>
      <c r="C9" s="68" t="s">
        <v>20</v>
      </c>
      <c r="D9" s="31">
        <v>80</v>
      </c>
      <c r="E9" s="18">
        <f t="shared" ref="E9:E10" si="10">D9+8</f>
        <v>88</v>
      </c>
      <c r="F9" s="113">
        <v>40</v>
      </c>
      <c r="G9" s="49">
        <v>74</v>
      </c>
      <c r="H9" s="20">
        <f t="shared" ref="H9:H10" si="11">G9+4</f>
        <v>78</v>
      </c>
      <c r="I9" s="114">
        <v>48</v>
      </c>
      <c r="J9" s="49">
        <v>36</v>
      </c>
      <c r="K9" s="19">
        <f t="shared" ref="K9:K10" si="12">J9+5</f>
        <v>41</v>
      </c>
      <c r="L9" s="114">
        <v>46</v>
      </c>
      <c r="M9" s="50">
        <f t="shared" ref="M9:M10" si="13">(E9*H9)/(E9+H9)</f>
        <v>41.349397590361448</v>
      </c>
      <c r="N9" s="22">
        <f t="shared" ref="N9:N10" si="14">K9-M9</f>
        <v>-0.34939759036144835</v>
      </c>
      <c r="O9" s="117">
        <v>50</v>
      </c>
      <c r="P9" s="10"/>
      <c r="Q9" s="53">
        <v>82</v>
      </c>
      <c r="R9" s="23">
        <f t="shared" ref="R9:R10" si="15">Q9+8</f>
        <v>90</v>
      </c>
      <c r="S9" s="74">
        <v>40</v>
      </c>
      <c r="T9" s="53">
        <v>69</v>
      </c>
      <c r="U9" s="25">
        <f t="shared" ref="U9:U10" si="16">T9+4</f>
        <v>73</v>
      </c>
      <c r="V9" s="92">
        <v>46</v>
      </c>
      <c r="W9" s="53">
        <v>37</v>
      </c>
      <c r="X9" s="24">
        <f t="shared" ref="X9:X10" si="17">W9+5</f>
        <v>42</v>
      </c>
      <c r="Y9" s="86">
        <v>48</v>
      </c>
      <c r="Z9" s="59">
        <f t="shared" ref="Z9:Z10" si="18">(R9*U9)/(R9+U9)</f>
        <v>40.306748466257666</v>
      </c>
      <c r="AA9" s="27">
        <f t="shared" ref="AA9:AA10" si="19">X9-Z9</f>
        <v>1.6932515337423339</v>
      </c>
      <c r="AB9" s="86">
        <v>52</v>
      </c>
    </row>
    <row r="10" spans="1:28" x14ac:dyDescent="0.35">
      <c r="A10" s="69">
        <v>3</v>
      </c>
      <c r="B10" s="67">
        <v>64</v>
      </c>
      <c r="C10" s="68" t="s">
        <v>20</v>
      </c>
      <c r="D10" s="31">
        <v>98</v>
      </c>
      <c r="E10" s="18">
        <f t="shared" si="10"/>
        <v>106</v>
      </c>
      <c r="F10" s="71">
        <v>50</v>
      </c>
      <c r="G10" s="49">
        <v>78</v>
      </c>
      <c r="H10" s="20">
        <f t="shared" si="11"/>
        <v>82</v>
      </c>
      <c r="I10" s="114">
        <v>52</v>
      </c>
      <c r="J10" s="49">
        <v>30</v>
      </c>
      <c r="K10" s="19">
        <f t="shared" si="12"/>
        <v>35</v>
      </c>
      <c r="L10" s="114">
        <v>40</v>
      </c>
      <c r="M10" s="50">
        <f t="shared" si="13"/>
        <v>46.234042553191486</v>
      </c>
      <c r="N10" s="22">
        <f t="shared" si="14"/>
        <v>-11.234042553191486</v>
      </c>
      <c r="O10" s="117">
        <v>38</v>
      </c>
      <c r="P10" s="10"/>
      <c r="Q10" s="53">
        <v>92</v>
      </c>
      <c r="R10" s="23">
        <f t="shared" si="15"/>
        <v>100</v>
      </c>
      <c r="S10" s="74">
        <v>46</v>
      </c>
      <c r="T10" s="53">
        <v>67</v>
      </c>
      <c r="U10" s="25">
        <f t="shared" si="16"/>
        <v>71</v>
      </c>
      <c r="V10" s="92">
        <v>44</v>
      </c>
      <c r="W10" s="53">
        <v>42</v>
      </c>
      <c r="X10" s="24">
        <f t="shared" si="17"/>
        <v>47</v>
      </c>
      <c r="Y10" s="86">
        <v>52</v>
      </c>
      <c r="Z10" s="59">
        <f t="shared" si="18"/>
        <v>41.520467836257311</v>
      </c>
      <c r="AA10" s="27">
        <f t="shared" si="19"/>
        <v>5.4795321637426895</v>
      </c>
      <c r="AB10" s="86">
        <v>54</v>
      </c>
    </row>
    <row r="12" spans="1:28" ht="15" thickBot="1" x14ac:dyDescent="0.4"/>
    <row r="13" spans="1:28" ht="15" thickBot="1" x14ac:dyDescent="0.4">
      <c r="B13" s="12" t="s">
        <v>14</v>
      </c>
      <c r="C13" s="13" t="s">
        <v>15</v>
      </c>
      <c r="E13" s="12" t="s">
        <v>14</v>
      </c>
      <c r="F13" s="13" t="s">
        <v>15</v>
      </c>
      <c r="H13" s="12" t="s">
        <v>14</v>
      </c>
      <c r="I13" s="13" t="s">
        <v>15</v>
      </c>
      <c r="K13" s="12" t="s">
        <v>14</v>
      </c>
      <c r="L13" s="13" t="s">
        <v>15</v>
      </c>
    </row>
    <row r="14" spans="1:28" ht="15" thickBot="1" x14ac:dyDescent="0.4">
      <c r="B14" s="80" t="s">
        <v>2</v>
      </c>
      <c r="C14" s="80" t="s">
        <v>2</v>
      </c>
      <c r="E14" s="80" t="s">
        <v>3</v>
      </c>
      <c r="F14" s="80" t="s">
        <v>3</v>
      </c>
      <c r="H14" s="80" t="s">
        <v>4</v>
      </c>
      <c r="I14" s="80" t="s">
        <v>4</v>
      </c>
      <c r="K14" s="102" t="s">
        <v>11</v>
      </c>
      <c r="L14" s="102" t="s">
        <v>11</v>
      </c>
    </row>
    <row r="15" spans="1:28" ht="15" thickBot="1" x14ac:dyDescent="0.4">
      <c r="A15" s="82">
        <v>1</v>
      </c>
      <c r="B15" s="83">
        <v>50</v>
      </c>
      <c r="C15" s="84">
        <v>54</v>
      </c>
      <c r="D15" s="94">
        <f>IF(C15-B15&gt;=10,1,0)</f>
        <v>0</v>
      </c>
      <c r="E15" s="93">
        <v>50</v>
      </c>
      <c r="F15" s="91">
        <v>48</v>
      </c>
      <c r="G15" s="103">
        <f>IF(F15-E15&gt;=10,1,0)</f>
        <v>0</v>
      </c>
      <c r="H15" s="97">
        <v>52</v>
      </c>
      <c r="I15" s="91">
        <v>50</v>
      </c>
      <c r="J15" s="103">
        <f>IF(I15-H15&gt;=10,1,0)</f>
        <v>0</v>
      </c>
      <c r="K15" s="98">
        <v>52</v>
      </c>
      <c r="L15" s="91">
        <v>48</v>
      </c>
      <c r="M15" s="11">
        <f>IF(L15-K15&gt;=10,1,0)</f>
        <v>0</v>
      </c>
      <c r="O15" t="s">
        <v>16</v>
      </c>
      <c r="Q15" t="s">
        <v>18</v>
      </c>
    </row>
    <row r="16" spans="1:28" ht="15" thickBot="1" x14ac:dyDescent="0.4">
      <c r="A16" s="82">
        <v>3</v>
      </c>
      <c r="B16" s="113">
        <v>60</v>
      </c>
      <c r="C16" s="57">
        <v>64</v>
      </c>
      <c r="D16" s="112"/>
      <c r="E16" s="114">
        <v>48</v>
      </c>
      <c r="F16" s="92">
        <v>50</v>
      </c>
      <c r="G16" s="103">
        <f>IF(F16-E16&gt;=10,1,0)</f>
        <v>0</v>
      </c>
      <c r="H16" s="115">
        <v>62</v>
      </c>
      <c r="I16" s="86">
        <v>66</v>
      </c>
      <c r="J16" s="103">
        <f>IF(I16-H16&gt;=10,1,0)</f>
        <v>0</v>
      </c>
      <c r="K16" s="117">
        <v>58</v>
      </c>
      <c r="L16" s="86">
        <v>60</v>
      </c>
      <c r="M16" s="11">
        <f>IF(L16-K16&gt;=10,1,0)</f>
        <v>0</v>
      </c>
    </row>
    <row r="17" spans="1:18" ht="15" thickBot="1" x14ac:dyDescent="0.4">
      <c r="A17" s="82">
        <v>2</v>
      </c>
      <c r="B17" s="85">
        <v>50</v>
      </c>
      <c r="C17" s="86">
        <v>48</v>
      </c>
      <c r="D17" s="95">
        <f t="shared" ref="D17" si="20">IF(C17-B17&gt;=10,1,0)</f>
        <v>0</v>
      </c>
      <c r="E17" s="32">
        <v>46</v>
      </c>
      <c r="F17" s="92">
        <v>44</v>
      </c>
      <c r="G17" s="89">
        <f t="shared" ref="G17" si="21">IF(F17-E17&gt;=10,1,0)</f>
        <v>0</v>
      </c>
      <c r="H17" s="43">
        <v>52</v>
      </c>
      <c r="I17" s="65">
        <v>66</v>
      </c>
      <c r="J17" s="90">
        <f t="shared" ref="J17" si="22">IF(I17-H17&gt;=10,1,0)</f>
        <v>1</v>
      </c>
      <c r="K17" s="99">
        <v>54</v>
      </c>
      <c r="L17" s="86">
        <v>68</v>
      </c>
      <c r="M17" s="79">
        <f t="shared" ref="M17" si="23">IF(L17-K17&gt;=10,1,0)</f>
        <v>1</v>
      </c>
      <c r="O17" t="s">
        <v>17</v>
      </c>
      <c r="Q17" s="70"/>
      <c r="R17" t="s">
        <v>23</v>
      </c>
    </row>
    <row r="18" spans="1:18" s="78" customFormat="1" x14ac:dyDescent="0.35">
      <c r="A18" s="104"/>
      <c r="B18" s="104"/>
      <c r="C18" s="105"/>
      <c r="D18" s="75"/>
      <c r="E18" s="104"/>
      <c r="F18" s="105"/>
      <c r="G18" s="75"/>
      <c r="H18" s="104"/>
      <c r="I18" s="105"/>
      <c r="J18" s="75"/>
      <c r="K18" s="104"/>
      <c r="L18" s="75"/>
      <c r="M18" s="75"/>
    </row>
    <row r="19" spans="1:18" s="75" customFormat="1" ht="15" thickBot="1" x14ac:dyDescent="0.4">
      <c r="B19" s="76"/>
      <c r="E19" s="76"/>
      <c r="H19" s="76"/>
      <c r="K19" s="77"/>
    </row>
    <row r="20" spans="1:18" x14ac:dyDescent="0.35">
      <c r="A20" s="101">
        <v>1</v>
      </c>
      <c r="B20" s="87">
        <v>44</v>
      </c>
      <c r="C20" s="73">
        <v>42</v>
      </c>
      <c r="D20" s="94">
        <f t="shared" ref="D20:D22" si="24">IF(C20-B20&gt;=10,1,0)</f>
        <v>0</v>
      </c>
      <c r="E20" s="87">
        <v>26</v>
      </c>
      <c r="F20" s="91">
        <v>60</v>
      </c>
      <c r="G20" s="100">
        <f t="shared" ref="G20:G22" si="25">IF(F20-E20&gt;=10,1,0)</f>
        <v>1</v>
      </c>
      <c r="H20" s="87">
        <v>50</v>
      </c>
      <c r="I20" s="91">
        <v>78</v>
      </c>
      <c r="J20" s="100">
        <f t="shared" ref="J20:J22" si="26">IF(I20-H20&gt;=10,1,0)</f>
        <v>1</v>
      </c>
      <c r="K20" s="98">
        <v>64</v>
      </c>
      <c r="L20" s="81">
        <v>76</v>
      </c>
      <c r="M20" s="100">
        <f t="shared" ref="M20:M22" si="27">IF(L20-K20&gt;=10,1,0)</f>
        <v>1</v>
      </c>
    </row>
    <row r="21" spans="1:18" x14ac:dyDescent="0.35">
      <c r="A21" s="82">
        <v>2</v>
      </c>
      <c r="B21" s="45">
        <v>40</v>
      </c>
      <c r="C21" s="74">
        <v>40</v>
      </c>
      <c r="D21" s="95">
        <f t="shared" si="24"/>
        <v>0</v>
      </c>
      <c r="E21" s="33">
        <v>48</v>
      </c>
      <c r="F21" s="92">
        <v>46</v>
      </c>
      <c r="G21" s="95">
        <f t="shared" si="25"/>
        <v>0</v>
      </c>
      <c r="H21" s="33">
        <v>46</v>
      </c>
      <c r="I21" s="86">
        <v>48</v>
      </c>
      <c r="J21" s="95">
        <f t="shared" si="26"/>
        <v>0</v>
      </c>
      <c r="K21" s="99">
        <v>50</v>
      </c>
      <c r="L21" s="26">
        <v>52</v>
      </c>
      <c r="M21" s="95">
        <f t="shared" si="27"/>
        <v>0</v>
      </c>
    </row>
    <row r="22" spans="1:18" x14ac:dyDescent="0.35">
      <c r="A22" s="82">
        <v>3</v>
      </c>
      <c r="B22" s="88">
        <v>50</v>
      </c>
      <c r="C22" s="74">
        <v>46</v>
      </c>
      <c r="D22" s="95">
        <f t="shared" si="24"/>
        <v>0</v>
      </c>
      <c r="E22" s="33">
        <v>52</v>
      </c>
      <c r="F22" s="92">
        <v>44</v>
      </c>
      <c r="G22" s="95">
        <f t="shared" si="25"/>
        <v>0</v>
      </c>
      <c r="H22" s="33">
        <v>40</v>
      </c>
      <c r="I22" s="86">
        <v>52</v>
      </c>
      <c r="J22" s="96">
        <f t="shared" si="26"/>
        <v>1</v>
      </c>
      <c r="K22" s="99">
        <v>38</v>
      </c>
      <c r="L22" s="26">
        <v>54</v>
      </c>
      <c r="M22" s="96">
        <f t="shared" si="27"/>
        <v>1</v>
      </c>
    </row>
  </sheetData>
  <mergeCells count="3">
    <mergeCell ref="Q1:AB1"/>
    <mergeCell ref="D1:O1"/>
    <mergeCell ref="A6:O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Nerea Lucia Herrero</dc:creator>
  <cp:lastModifiedBy>Nerea Lucia Herrero</cp:lastModifiedBy>
  <dcterms:created xsi:type="dcterms:W3CDTF">2023-07-03T18:24:31Z</dcterms:created>
  <dcterms:modified xsi:type="dcterms:W3CDTF">2023-08-12T18:51:32Z</dcterms:modified>
</cp:coreProperties>
</file>